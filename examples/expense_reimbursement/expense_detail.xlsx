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069312a55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销明细" sheetId="1" r:id="R31a4db2c3bbb40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¥#,##0.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dxfs count="2"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9b5ad2d49845a6" /><Relationship Type="http://schemas.openxmlformats.org/officeDocument/2006/relationships/theme" Target="/xl/theme/theme1.xml" Id="R84e795774dba40a7" /><Relationship Type="http://schemas.openxmlformats.org/officeDocument/2006/relationships/sharedStrings" Target="/xl/sharedStrings.xml" Id="Rabd9b7d4118d4348" /><Relationship Type="http://schemas.openxmlformats.org/officeDocument/2006/relationships/worksheet" Target="/xl/worksheets/sheet1.xml" Id="R31a4db2c3bbb40ad" /></Relationships>
</file>

<file path=xl/tables/table1.xml><?xml version="1.0" encoding="utf-8"?>
<x:table xmlns:x="http://schemas.openxmlformats.org/spreadsheetml/2006/main" id="1" name="ExpenseDetailsTable" displayName="ExpenseDetailsTable" ref="A1:E6" headerRowCount="1">
  <x:tableColumns count="5">
    <x:tableColumn id="1" name="日期"/>
    <x:tableColumn id="2" name="费用类型"/>
    <x:tableColumn id="3" name="金额"/>
    <x:tableColumn id="4" name="发票状态"/>
    <x:tableColumn id="5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73c35b1f2e402d" /></Relationships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7.880000114440918" hidden="0" customWidth="1"/>
    <x:col min="3" max="3" width="4.25" hidden="0" customWidth="1"/>
    <x:col min="4" max="4" width="7.880000114440918" hidden="0" customWidth="1"/>
    <x:col min="5" max="5" width="11.5" hidden="0" customWidth="1"/>
    <x:col min="7" max="7" width="15.25" hidden="0" customWidth="1"/>
    <x:col min="8" max="8" width="8.630000114440918" hidden="0" customWidth="1"/>
  </x:cols>
  <x:sheetData>
    <x:row r="1" ht="24" customHeight="1">
      <x:c r="A1" s="14" t="str">
        <x:v>日期</x:v>
      </x:c>
      <x:c r="B1" s="14" t="str">
        <x:v>费用类型</x:v>
      </x:c>
      <x:c r="C1" s="14" t="str">
        <x:v>金额</x:v>
      </x:c>
      <x:c r="D1" s="14" t="str">
        <x:v>发票状态</x:v>
      </x:c>
      <x:c r="E1" s="14" t="str">
        <x:v>备注</x:v>
      </x:c>
      <x:c r="G1" s="4" t="str">
        <x:v>汇总项</x:v>
      </x:c>
      <x:c r="H1" s="4" t="str">
        <x:v>金额/数量</x:v>
      </x:c>
    </x:row>
    <x:row r="2">
      <x:c r="A2" s="15" t="n">
        <x:v>46174</x:v>
      </x:c>
      <x:c r="B2" s="16" t="str">
        <x:v>高铁</x:v>
      </x:c>
      <x:c r="C2" s="17" t="n">
        <x:v>320</x:v>
      </x:c>
      <x:c r="D2" s="16" t="str">
        <x:v>已提供</x:v>
      </x:c>
      <x:c r="E2" s="16" t="str">
        <x:v>北京到上海</x:v>
      </x:c>
      <x:c r="G2" t="str">
        <x:v>总金额</x:v>
      </x:c>
      <x:c r="H2" s="12" t="n">
        <x:f>SUM(C2:C6)</x:f>
        <x:v>1485</x:v>
      </x:c>
    </x:row>
    <x:row r="3">
      <x:c r="A3" s="15" t="n">
        <x:v>46174</x:v>
      </x:c>
      <x:c r="B3" s="16" t="str">
        <x:v>住宿</x:v>
      </x:c>
      <x:c r="C3" s="17" t="n">
        <x:v>480</x:v>
      </x:c>
      <x:c r="D3" s="16" t="str">
        <x:v>已提供</x:v>
      </x:c>
      <x:c r="E3" s="16" t="str">
        <x:v>酒店住宿</x:v>
      </x:c>
      <x:c r="G3" t="str">
        <x:v>交通费用</x:v>
      </x:c>
      <x:c r="H3" s="12" t="n">
        <x:f>SUMIF(B2:B6,"高铁",C2:C6)+SUMIF(B2:B6,"打车",C2:C6)</x:f>
        <x:v>405</x:v>
      </x:c>
    </x:row>
    <x:row r="4">
      <x:c r="A4" s="15" t="n">
        <x:v>46175</x:v>
      </x:c>
      <x:c r="B4" s="16" t="str">
        <x:v>餐饮</x:v>
      </x:c>
      <x:c r="C4" s="17" t="n">
        <x:v>120</x:v>
      </x:c>
      <x:c r="D4" s="16" t="str">
        <x:v>未提供</x:v>
      </x:c>
      <x:c r="E4" s="16" t="str">
        <x:v>午餐晚餐</x:v>
      </x:c>
      <x:c r="G4" t="str">
        <x:v>住宿费用</x:v>
      </x:c>
      <x:c r="H4" s="12" t="n">
        <x:f>SUMIF(B2:B6,"住宿",C2:C6)</x:f>
        <x:v>960</x:v>
      </x:c>
    </x:row>
    <x:row r="5">
      <x:c r="A5" s="15" t="n">
        <x:v>46176</x:v>
      </x:c>
      <x:c r="B5" s="16" t="str">
        <x:v>打车</x:v>
      </x:c>
      <x:c r="C5" s="17" t="n">
        <x:v>85</x:v>
      </x:c>
      <x:c r="D5" s="16" t="str">
        <x:v>已提供</x:v>
      </x:c>
      <x:c r="E5" s="16" t="str">
        <x:v>客户拜访</x:v>
      </x:c>
      <x:c r="G5" t="str">
        <x:v>餐饮费用</x:v>
      </x:c>
      <x:c r="H5" s="12" t="n">
        <x:f>SUMIF(B2:B6,"餐饮",C2:C6)</x:f>
        <x:v>120</x:v>
      </x:c>
    </x:row>
    <x:row r="6">
      <x:c r="A6" s="15" t="n">
        <x:v>46177</x:v>
      </x:c>
      <x:c r="B6" s="16" t="str">
        <x:v>住宿</x:v>
      </x:c>
      <x:c r="C6" s="17" t="n">
        <x:v>480</x:v>
      </x:c>
      <x:c r="D6" s="16" t="str">
        <x:v>已提供</x:v>
      </x:c>
      <x:c r="E6" s="16" t="str">
        <x:v>超出出差日期</x:v>
      </x:c>
      <x:c r="G6" t="str">
        <x:v>未提供发票条数</x:v>
      </x:c>
      <x:c r="H6" s="23" t="n">
        <x:f>COUNTIF(D2:D6,"未提供")</x:f>
        <x:v>1</x:v>
      </x:c>
    </x:row>
    <x:row r="7">
      <x:c r="G7" t="str">
        <x:v>超出出差日期条数</x:v>
      </x:c>
      <x:c r="H7" s="23" t="n">
        <x:v>1</x:v>
      </x:c>
    </x:row>
  </x:sheetData>
  <x:conditionalFormatting sqref="D2:D6">
    <x:cfRule type="expression" dxfId="0" priority="1">
      <x:formula>D2="未提供"</x:formula>
    </x:cfRule>
  </x:conditionalFormatting>
  <x:conditionalFormatting sqref="A2:A6">
    <x:cfRule type="expression" dxfId="1" priority="2">
      <x:formula>A2&gt;DATE(2026,6,3)</x:formula>
    </x:cfRule>
  </x:conditionalFormatting>
  <x:dataValidations count="1">
    <x:dataValidation type="list" sqref="D2:D20">
      <x:formula1>"已提供,未提供,待补票"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73c35b1f2e402d"/>
  </x:tableParts>
</x:worksheet>
</file>